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msoftscom-my.sharepoint.com/personal/trading_vlmsofts_com/Documents/Documents/"/>
    </mc:Choice>
  </mc:AlternateContent>
  <xr:revisionPtr revIDLastSave="0" documentId="8_{300C81D3-2E84-465F-A7D4-503ED9DD3FBB}" xr6:coauthVersionLast="47" xr6:coauthVersionMax="47" xr10:uidLastSave="{00000000-0000-0000-0000-000000000000}"/>
  <bookViews>
    <workbookView xWindow="-120" yWindow="-16425" windowWidth="29040" windowHeight="15720" xr2:uid="{F615EFD8-4250-431B-A837-E29372F0AB39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5" l="1"/>
  <c r="D11" i="5"/>
  <c r="D23" i="5"/>
  <c r="D18" i="5"/>
  <c r="C11" i="5"/>
  <c r="C18" i="5"/>
  <c r="C23" i="5"/>
  <c r="C3" i="5"/>
  <c r="C27" i="5" s="1"/>
  <c r="E23" i="5"/>
  <c r="E18" i="5"/>
  <c r="B18" i="5"/>
  <c r="E11" i="5"/>
  <c r="B11" i="5"/>
  <c r="E3" i="5"/>
  <c r="B3" i="5"/>
  <c r="B27" i="5" s="1"/>
  <c r="E27" i="5" l="1"/>
  <c r="D3" i="5" l="1"/>
</calcChain>
</file>

<file path=xl/sharedStrings.xml><?xml version="1.0" encoding="utf-8"?>
<sst xmlns="http://schemas.openxmlformats.org/spreadsheetml/2006/main" count="26" uniqueCount="26">
  <si>
    <t>Upland Area</t>
  </si>
  <si>
    <t>SOUTHEAST</t>
  </si>
  <si>
    <t>  Alabama</t>
  </si>
  <si>
    <t>  Florida</t>
  </si>
  <si>
    <t>  Georgia</t>
  </si>
  <si>
    <t>  North Carolina</t>
  </si>
  <si>
    <t>  South Carolina</t>
  </si>
  <si>
    <t>  Virginia</t>
  </si>
  <si>
    <t>MID-SOUTH</t>
  </si>
  <si>
    <t>  Arkansas</t>
  </si>
  <si>
    <t>  Louisiana</t>
  </si>
  <si>
    <t>  Mississippi</t>
  </si>
  <si>
    <t>  Missouri</t>
  </si>
  <si>
    <t>  Tennessee</t>
  </si>
  <si>
    <t>SOUTHWEST</t>
  </si>
  <si>
    <t>  Kansas</t>
  </si>
  <si>
    <t>  Oklahoma</t>
  </si>
  <si>
    <t>  Texas</t>
  </si>
  <si>
    <t>WEST</t>
  </si>
  <si>
    <t>  Arizona</t>
  </si>
  <si>
    <t>  California</t>
  </si>
  <si>
    <t>  New Mexico</t>
  </si>
  <si>
    <t>2025 final acres</t>
  </si>
  <si>
    <t>2026 NCC est</t>
  </si>
  <si>
    <t>Prospective planting 03/31/2026</t>
  </si>
  <si>
    <t>VLM estimate on 03/30/2026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</si>
</sst>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333333"/>
      <name val="Times New Roman"/>
      <family val="1"/>
    </font>
    <font>
      <sz val="14"/>
      <color rgb="FF333333"/>
      <name val="Open Sans"/>
      <family val="2"/>
    </font>
    <font>
      <sz val="12"/>
      <color rgb="FF33333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2" fillId="2" borderId="1" xfId="0" applyNumberFormat="1" applyFont="1" applyFill="1" applyBorder="1" applyAlignment="1">
      <alignment vertic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168" fontId="2" fillId="2" borderId="1" xfId="0" applyNumberFormat="1" applyFont="1" applyFill="1" applyBorder="1" applyAlignment="1">
      <alignment vertical="center"/>
    </xf>
    <xf numFmtId="168" fontId="4" fillId="2" borderId="1" xfId="1" applyNumberFormat="1" applyFont="1" applyFill="1" applyBorder="1" applyAlignment="1">
      <alignment horizontal="right" vertical="center"/>
    </xf>
    <xf numFmtId="168" fontId="3" fillId="4" borderId="1" xfId="1" applyNumberFormat="1" applyFont="1" applyFill="1" applyBorder="1"/>
    <xf numFmtId="168" fontId="2" fillId="2" borderId="1" xfId="1" applyNumberFormat="1" applyFont="1" applyFill="1" applyBorder="1" applyAlignment="1">
      <alignment horizontal="right" vertical="center"/>
    </xf>
    <xf numFmtId="168" fontId="3" fillId="4" borderId="2" xfId="1" applyNumberFormat="1" applyFont="1" applyFill="1" applyBorder="1"/>
    <xf numFmtId="0" fontId="2" fillId="5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DCD5-FCF9-41FF-9A28-671A12A3C4C7}">
  <dimension ref="A1:E27"/>
  <sheetViews>
    <sheetView tabSelected="1" workbookViewId="0">
      <selection activeCell="I6" sqref="I6"/>
    </sheetView>
  </sheetViews>
  <sheetFormatPr defaultRowHeight="15" x14ac:dyDescent="0.25"/>
  <cols>
    <col min="1" max="1" width="15.28515625" bestFit="1" customWidth="1"/>
    <col min="2" max="2" width="15.5703125" hidden="1" customWidth="1"/>
    <col min="3" max="3" width="15.5703125" bestFit="1" customWidth="1"/>
    <col min="4" max="4" width="15.5703125" customWidth="1"/>
    <col min="5" max="5" width="15.5703125" bestFit="1" customWidth="1"/>
  </cols>
  <sheetData>
    <row r="1" spans="1:5" ht="47.25" x14ac:dyDescent="0.25">
      <c r="A1" s="1" t="s">
        <v>0</v>
      </c>
      <c r="B1" s="6" t="s">
        <v>22</v>
      </c>
      <c r="C1" s="6" t="s">
        <v>23</v>
      </c>
      <c r="D1" s="6" t="s">
        <v>24</v>
      </c>
      <c r="E1" s="13" t="s">
        <v>25</v>
      </c>
    </row>
    <row r="2" spans="1:5" ht="21" x14ac:dyDescent="0.4">
      <c r="A2" s="2"/>
      <c r="B2" s="7"/>
      <c r="C2" s="7"/>
      <c r="D2" s="7"/>
      <c r="E2" s="7"/>
    </row>
    <row r="3" spans="1:5" ht="15.75" x14ac:dyDescent="0.25">
      <c r="A3" s="3" t="s">
        <v>1</v>
      </c>
      <c r="B3" s="8">
        <f>B4+B5+B6+B7+B8+B9</f>
        <v>1714000</v>
      </c>
      <c r="C3" s="8">
        <f>C4+C5+C6+C7+C8+C9</f>
        <v>1629000</v>
      </c>
      <c r="D3" s="8">
        <f>D4+D5+D6+D7+D8+D9</f>
        <v>1629000</v>
      </c>
      <c r="E3" s="8">
        <f>E4+E5+E6+E7+E8+E9</f>
        <v>1790000</v>
      </c>
    </row>
    <row r="4" spans="1:5" ht="15.75" x14ac:dyDescent="0.25">
      <c r="A4" s="4" t="s">
        <v>2</v>
      </c>
      <c r="B4" s="9">
        <v>290000</v>
      </c>
      <c r="C4" s="9">
        <v>290000</v>
      </c>
      <c r="D4" s="8">
        <v>290000</v>
      </c>
      <c r="E4" s="9">
        <v>320000</v>
      </c>
    </row>
    <row r="5" spans="1:5" ht="15.75" x14ac:dyDescent="0.25">
      <c r="A5" s="4" t="s">
        <v>3</v>
      </c>
      <c r="B5" s="9">
        <v>61000</v>
      </c>
      <c r="C5" s="9">
        <v>54000</v>
      </c>
      <c r="D5" s="8">
        <v>54000</v>
      </c>
      <c r="E5" s="9">
        <v>80000</v>
      </c>
    </row>
    <row r="6" spans="1:5" ht="15.75" x14ac:dyDescent="0.25">
      <c r="A6" s="4" t="s">
        <v>4</v>
      </c>
      <c r="B6" s="9">
        <v>835000</v>
      </c>
      <c r="C6" s="9">
        <v>805000</v>
      </c>
      <c r="D6" s="8">
        <v>805000</v>
      </c>
      <c r="E6" s="9">
        <v>865000</v>
      </c>
    </row>
    <row r="7" spans="1:5" ht="15.75" x14ac:dyDescent="0.25">
      <c r="A7" s="4" t="s">
        <v>5</v>
      </c>
      <c r="B7" s="9">
        <v>285000</v>
      </c>
      <c r="C7" s="9">
        <v>268000</v>
      </c>
      <c r="D7" s="8">
        <v>268000</v>
      </c>
      <c r="E7" s="9">
        <v>290000</v>
      </c>
    </row>
    <row r="8" spans="1:5" ht="15.75" x14ac:dyDescent="0.25">
      <c r="A8" s="4" t="s">
        <v>6</v>
      </c>
      <c r="B8" s="9">
        <v>170000</v>
      </c>
      <c r="C8" s="9">
        <v>152000</v>
      </c>
      <c r="D8" s="8">
        <v>152000</v>
      </c>
      <c r="E8" s="9">
        <v>170000</v>
      </c>
    </row>
    <row r="9" spans="1:5" ht="15.75" x14ac:dyDescent="0.25">
      <c r="A9" s="4" t="s">
        <v>7</v>
      </c>
      <c r="B9" s="9">
        <v>73000</v>
      </c>
      <c r="C9" s="9">
        <v>60000</v>
      </c>
      <c r="D9" s="8">
        <v>60000</v>
      </c>
      <c r="E9" s="9">
        <v>65000</v>
      </c>
    </row>
    <row r="10" spans="1:5" ht="21" x14ac:dyDescent="0.4">
      <c r="A10" s="5"/>
      <c r="B10" s="10"/>
      <c r="C10" s="10"/>
      <c r="D10" s="10"/>
      <c r="E10" s="10"/>
    </row>
    <row r="11" spans="1:5" ht="15.75" x14ac:dyDescent="0.25">
      <c r="A11" s="3" t="s">
        <v>8</v>
      </c>
      <c r="B11" s="11">
        <f>B12+B13+B14+B15+B16</f>
        <v>1500000</v>
      </c>
      <c r="C11" s="11">
        <f>C12+C13+C14+C15+C16</f>
        <v>1190000</v>
      </c>
      <c r="D11" s="8">
        <f>D12+D13+D14+D15+D16</f>
        <v>1190000</v>
      </c>
      <c r="E11" s="11">
        <f>E12+E13+E14+E15+E16</f>
        <v>1440000</v>
      </c>
    </row>
    <row r="12" spans="1:5" ht="15.75" x14ac:dyDescent="0.25">
      <c r="A12" s="4" t="s">
        <v>9</v>
      </c>
      <c r="B12" s="9">
        <v>520000</v>
      </c>
      <c r="C12" s="9">
        <v>362000</v>
      </c>
      <c r="D12" s="8">
        <v>362000</v>
      </c>
      <c r="E12" s="9">
        <v>465000</v>
      </c>
    </row>
    <row r="13" spans="1:5" ht="15.75" x14ac:dyDescent="0.25">
      <c r="A13" s="4" t="s">
        <v>10</v>
      </c>
      <c r="B13" s="9">
        <v>90000</v>
      </c>
      <c r="C13" s="9">
        <v>105000</v>
      </c>
      <c r="D13" s="8">
        <v>105000</v>
      </c>
      <c r="E13" s="9">
        <v>115000</v>
      </c>
    </row>
    <row r="14" spans="1:5" ht="15.75" x14ac:dyDescent="0.25">
      <c r="A14" s="4" t="s">
        <v>11</v>
      </c>
      <c r="B14" s="9">
        <v>330000</v>
      </c>
      <c r="C14" s="9">
        <v>278000</v>
      </c>
      <c r="D14" s="8">
        <v>278000</v>
      </c>
      <c r="E14" s="9">
        <v>320000</v>
      </c>
    </row>
    <row r="15" spans="1:5" ht="15.75" x14ac:dyDescent="0.25">
      <c r="A15" s="4" t="s">
        <v>12</v>
      </c>
      <c r="B15" s="9">
        <v>355000</v>
      </c>
      <c r="C15" s="9">
        <v>266000</v>
      </c>
      <c r="D15" s="8">
        <v>266000</v>
      </c>
      <c r="E15" s="9">
        <v>325000</v>
      </c>
    </row>
    <row r="16" spans="1:5" ht="15.75" x14ac:dyDescent="0.25">
      <c r="A16" s="4" t="s">
        <v>13</v>
      </c>
      <c r="B16" s="9">
        <v>205000</v>
      </c>
      <c r="C16" s="9">
        <v>179000</v>
      </c>
      <c r="D16" s="8">
        <v>179000</v>
      </c>
      <c r="E16" s="9">
        <v>215000</v>
      </c>
    </row>
    <row r="17" spans="1:5" ht="21" x14ac:dyDescent="0.4">
      <c r="A17" s="5"/>
      <c r="B17" s="10"/>
      <c r="C17" s="10"/>
      <c r="D17" s="10"/>
      <c r="E17" s="10"/>
    </row>
    <row r="18" spans="1:5" ht="15.75" x14ac:dyDescent="0.25">
      <c r="A18" s="3" t="s">
        <v>14</v>
      </c>
      <c r="B18" s="11">
        <f>B19+B20+B21</f>
        <v>5792000</v>
      </c>
      <c r="C18" s="11">
        <f>C19+C20+C21</f>
        <v>5883000</v>
      </c>
      <c r="D18" s="8">
        <f>D19+D20+D21</f>
        <v>5883000</v>
      </c>
      <c r="E18" s="11">
        <f>E19+E20+E21</f>
        <v>6110000</v>
      </c>
    </row>
    <row r="19" spans="1:5" ht="15.75" x14ac:dyDescent="0.25">
      <c r="A19" s="4" t="s">
        <v>15</v>
      </c>
      <c r="B19" s="9">
        <v>102000</v>
      </c>
      <c r="C19" s="9">
        <v>112000</v>
      </c>
      <c r="D19" s="8">
        <v>112000</v>
      </c>
      <c r="E19" s="9">
        <v>135000</v>
      </c>
    </row>
    <row r="20" spans="1:5" ht="15.75" x14ac:dyDescent="0.25">
      <c r="A20" s="4" t="s">
        <v>16</v>
      </c>
      <c r="B20" s="9">
        <v>390000</v>
      </c>
      <c r="C20" s="9">
        <v>451000</v>
      </c>
      <c r="D20" s="8">
        <v>451000</v>
      </c>
      <c r="E20" s="9">
        <v>475000</v>
      </c>
    </row>
    <row r="21" spans="1:5" ht="15.75" x14ac:dyDescent="0.25">
      <c r="A21" s="4" t="s">
        <v>17</v>
      </c>
      <c r="B21" s="9">
        <v>5300000</v>
      </c>
      <c r="C21" s="9">
        <v>5320000</v>
      </c>
      <c r="D21" s="8">
        <v>5320000</v>
      </c>
      <c r="E21" s="9">
        <v>5500000</v>
      </c>
    </row>
    <row r="22" spans="1:5" ht="21" x14ac:dyDescent="0.4">
      <c r="A22" s="5"/>
      <c r="B22" s="10"/>
      <c r="C22" s="10"/>
      <c r="D22" s="10"/>
      <c r="E22" s="10"/>
    </row>
    <row r="23" spans="1:5" ht="15.75" x14ac:dyDescent="0.25">
      <c r="A23" s="3" t="s">
        <v>18</v>
      </c>
      <c r="B23" s="11">
        <v>130000</v>
      </c>
      <c r="C23" s="11">
        <f>C24+C25+C26</f>
        <v>125000</v>
      </c>
      <c r="D23" s="8">
        <f>D24+D25+D26</f>
        <v>125000</v>
      </c>
      <c r="E23" s="11">
        <f>E24+E25+E26</f>
        <v>158000</v>
      </c>
    </row>
    <row r="24" spans="1:5" ht="15.75" x14ac:dyDescent="0.25">
      <c r="A24" s="4" t="s">
        <v>19</v>
      </c>
      <c r="B24" s="9">
        <v>87000</v>
      </c>
      <c r="C24" s="9">
        <v>83000</v>
      </c>
      <c r="D24" s="8">
        <v>83000</v>
      </c>
      <c r="E24" s="9">
        <v>110000</v>
      </c>
    </row>
    <row r="25" spans="1:5" ht="15.75" x14ac:dyDescent="0.25">
      <c r="A25" s="4" t="s">
        <v>20</v>
      </c>
      <c r="B25" s="9">
        <v>18000</v>
      </c>
      <c r="C25" s="9">
        <v>17000</v>
      </c>
      <c r="D25" s="8">
        <v>17000</v>
      </c>
      <c r="E25" s="9">
        <v>18000</v>
      </c>
    </row>
    <row r="26" spans="1:5" ht="15.75" x14ac:dyDescent="0.25">
      <c r="A26" s="4" t="s">
        <v>21</v>
      </c>
      <c r="B26" s="9">
        <v>30000</v>
      </c>
      <c r="C26" s="9">
        <v>25000</v>
      </c>
      <c r="D26" s="8">
        <v>25000</v>
      </c>
      <c r="E26" s="9">
        <v>30000</v>
      </c>
    </row>
    <row r="27" spans="1:5" ht="21" x14ac:dyDescent="0.4">
      <c r="A27" s="5"/>
      <c r="B27" s="10">
        <f>B3+B11+B18+B23</f>
        <v>9136000</v>
      </c>
      <c r="C27" s="12">
        <f>C23+C18+C11+C3</f>
        <v>8827000</v>
      </c>
      <c r="D27" s="12">
        <f>D3+D11+D18+D23</f>
        <v>8827000</v>
      </c>
      <c r="E27" s="12">
        <f>E23+E18+E11+E3</f>
        <v>9498000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VLM Commodities</dc:creator>
  <cp:lastModifiedBy>VLM Commodities</cp:lastModifiedBy>
  <dcterms:created xsi:type="dcterms:W3CDTF">2026-03-28T12:48:51Z</dcterms:created>
  <dcterms:modified xsi:type="dcterms:W3CDTF">2026-03-29T17:26:45Z</dcterms:modified>
</cp:coreProperties>
</file>